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9월 KPI 요약" sheetId="1" state="visible" r:id="rId1"/>
    <sheet xmlns:r="http://schemas.openxmlformats.org/officeDocument/2006/relationships" name="미유박스 채널" sheetId="2" state="visible" r:id="rId2"/>
    <sheet xmlns:r="http://schemas.openxmlformats.org/officeDocument/2006/relationships" name="핫팩 채널" sheetId="3" state="visible" r:id="rId3"/>
    <sheet xmlns:r="http://schemas.openxmlformats.org/officeDocument/2006/relationships" name="제품 수량(8월vs9월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&quot;x&quot;"/>
  </numFmts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C00000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3" fontId="0" fillId="3" borderId="1" pivotButton="0" quotePrefix="0" xfId="0"/>
    <xf numFmtId="164" fontId="0" fillId="3" borderId="1" pivotButton="0" quotePrefix="0" xfId="0"/>
    <xf numFmtId="0" fontId="4" fillId="4" borderId="1" pivotButton="0" quotePrefix="0" xfId="0"/>
    <xf numFmtId="3" fontId="4" fillId="4" borderId="1" pivotButton="0" quotePrefix="0" xfId="0"/>
    <xf numFmtId="164" fontId="4" fillId="4" borderId="1" pivotButton="0" quotePrefix="0" xfId="0"/>
    <xf numFmtId="165" fontId="4" fillId="4" borderId="1" pivotButton="0" quotePrefix="0" xfId="0"/>
    <xf numFmtId="0" fontId="4" fillId="0" borderId="0" pivotButton="0" quotePrefix="0" xfId="0"/>
    <xf numFmtId="164" fontId="0" fillId="0" borderId="0" pivotButton="0" quotePrefix="0" xfId="0"/>
    <xf numFmtId="0" fontId="0" fillId="3" borderId="1" pivotButton="0" quotePrefix="0" xfId="0"/>
    <xf numFmtId="165" fontId="0" fillId="3" borderId="1" pivotButton="0" quotePrefix="0" xfId="0"/>
    <xf numFmtId="0" fontId="0" fillId="5" borderId="1" pivotButton="0" quotePrefix="0" xfId="0"/>
    <xf numFmtId="3" fontId="0" fillId="5" borderId="1" pivotButton="0" quotePrefix="0" xfId="0"/>
    <xf numFmtId="164" fontId="0" fillId="5" borderId="1" pivotButton="0" quotePrefix="0" xfId="0"/>
    <xf numFmtId="165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4" customWidth="1" min="3" max="3"/>
    <col width="11" customWidth="1" min="4" max="4"/>
    <col width="13" customWidth="1" min="5" max="5"/>
    <col width="10" customWidth="1" min="6" max="6"/>
    <col width="14" customWidth="1" min="7" max="7"/>
    <col width="9" customWidth="1" min="8" max="8"/>
    <col width="9" customWidth="1" min="9" max="9"/>
    <col width="9" customWidth="1" min="10" max="10"/>
    <col width="14" customWidth="1" min="11" max="11"/>
    <col width="9" customWidth="1" min="12" max="12"/>
    <col width="11" customWidth="1" min="13" max="13"/>
  </cols>
  <sheetData>
    <row r="1">
      <c r="A1" s="1" t="inlineStr">
        <is>
          <t>2026년 9월 온라인 KPI (9/1~9/30) | 미유박스 &amp; 핫팩</t>
        </is>
      </c>
    </row>
    <row r="2">
      <c r="A2" s="2" t="inlineStr">
        <is>
          <t>※ 목표값은 C:\온라인_KPI 원본 기준으로 입력 필요 (노란 칸)</t>
        </is>
      </c>
    </row>
    <row r="4">
      <c r="A4" s="3" t="inlineStr">
        <is>
          <t>구분</t>
        </is>
      </c>
      <c r="B4" s="3" t="inlineStr">
        <is>
          <t>매출</t>
        </is>
      </c>
      <c r="C4" s="3" t="inlineStr">
        <is>
          <t>영업이익</t>
        </is>
      </c>
      <c r="D4" s="3" t="inlineStr">
        <is>
          <t>영업이익률</t>
        </is>
      </c>
      <c r="E4" s="3" t="inlineStr">
        <is>
          <t>광고비</t>
        </is>
      </c>
      <c r="F4" s="3" t="inlineStr">
        <is>
          <t>광고비율</t>
        </is>
      </c>
      <c r="G4" s="3" t="inlineStr">
        <is>
          <t>ROAS(매출/광고비)</t>
        </is>
      </c>
      <c r="H4" s="3" t="inlineStr">
        <is>
          <t>원가율</t>
        </is>
      </c>
      <c r="I4" s="3" t="inlineStr">
        <is>
          <t>수수료율</t>
        </is>
      </c>
      <c r="J4" s="3" t="inlineStr">
        <is>
          <t>택배비율</t>
        </is>
      </c>
      <c r="K4" s="3" t="inlineStr">
        <is>
          <t>목표 매출</t>
        </is>
      </c>
      <c r="L4" s="3" t="inlineStr">
        <is>
          <t>달성률</t>
        </is>
      </c>
      <c r="M4" s="3" t="inlineStr">
        <is>
          <t>목표 이익률</t>
        </is>
      </c>
    </row>
    <row r="5">
      <c r="A5" s="4" t="inlineStr">
        <is>
          <t>미유박스</t>
        </is>
      </c>
      <c r="B5" s="5" t="n">
        <v>108687323</v>
      </c>
      <c r="C5" s="5" t="n">
        <v>16703049</v>
      </c>
      <c r="D5" s="6">
        <f>C5/B5</f>
        <v/>
      </c>
      <c r="E5" s="5" t="n">
        <v>17348818</v>
      </c>
      <c r="F5" s="6">
        <f>E5/B5</f>
        <v/>
      </c>
      <c r="G5" s="7">
        <f>IFERROR(B5/E5,0)</f>
        <v/>
      </c>
      <c r="H5" s="6" t="n">
        <v>0.4474256303101697</v>
      </c>
      <c r="I5" s="6" t="n">
        <v>0.09930338425945039</v>
      </c>
      <c r="J5" s="6" t="n">
        <v>0.1572653141894018</v>
      </c>
      <c r="K5" s="8" t="n"/>
      <c r="L5" s="6">
        <f>IF(K5&gt;0,B5/K5,"")</f>
        <v/>
      </c>
      <c r="M5" s="9" t="n"/>
    </row>
    <row r="6">
      <c r="A6" s="4" t="inlineStr">
        <is>
          <t>핫팩 및 기타</t>
        </is>
      </c>
      <c r="B6" s="5" t="n">
        <v>28319705</v>
      </c>
      <c r="C6" s="5" t="n">
        <v>10216114</v>
      </c>
      <c r="D6" s="6">
        <f>C6/B6</f>
        <v/>
      </c>
      <c r="E6" s="5" t="n">
        <v>1013127</v>
      </c>
      <c r="F6" s="6">
        <f>E6/B6</f>
        <v/>
      </c>
      <c r="G6" s="7">
        <f>IFERROR(B6/E6,0)</f>
        <v/>
      </c>
      <c r="H6" s="6" t="n">
        <v>0.4039468278359538</v>
      </c>
      <c r="I6" s="6" t="n">
        <v>0.08638730523499451</v>
      </c>
      <c r="J6" s="6" t="n">
        <v>0.1452223460661048</v>
      </c>
      <c r="K6" s="8" t="n"/>
      <c r="L6" s="6">
        <f>IF(K6&gt;0,B6/K6,"")</f>
        <v/>
      </c>
      <c r="M6" s="9" t="n"/>
    </row>
    <row r="7">
      <c r="A7" s="10" t="inlineStr">
        <is>
          <t>합계</t>
        </is>
      </c>
      <c r="B7" s="11" t="n">
        <v>137007028</v>
      </c>
      <c r="C7" s="11" t="n">
        <v>26919163</v>
      </c>
      <c r="D7" s="12">
        <f>C7/B7</f>
        <v/>
      </c>
      <c r="E7" s="11" t="n">
        <v>18361945</v>
      </c>
      <c r="F7" s="12">
        <f>E7/B7</f>
        <v/>
      </c>
      <c r="G7" s="13">
        <f>IFERROR(B7/E7,0)</f>
        <v/>
      </c>
      <c r="H7" s="12" t="n">
        <v>0.4384384500333808</v>
      </c>
      <c r="I7" s="12" t="n">
        <v>0.09663359751150868</v>
      </c>
      <c r="J7" s="12" t="n">
        <v>0.1547760017099269</v>
      </c>
      <c r="K7" s="11">
        <f>K5+K6</f>
        <v/>
      </c>
      <c r="L7" s="12">
        <f>IF(K7&gt;0,B7/K7,"")</f>
        <v/>
      </c>
      <c r="M7" s="10" t="n"/>
    </row>
    <row r="9">
      <c r="A9" s="14" t="inlineStr">
        <is>
          <t>매출 비중</t>
        </is>
      </c>
    </row>
    <row r="10">
      <c r="A10" t="inlineStr">
        <is>
          <t>미유박스</t>
        </is>
      </c>
      <c r="B10" s="15">
        <f>B5/B7</f>
        <v/>
      </c>
    </row>
    <row r="11">
      <c r="A11" t="inlineStr">
        <is>
          <t>핫팩 및 기타</t>
        </is>
      </c>
      <c r="B11" s="15">
        <f>B6/B7</f>
        <v/>
      </c>
    </row>
    <row r="12">
      <c r="A12" t="inlineStr">
        <is>
          <t>이익 비중(핫팩)</t>
        </is>
      </c>
      <c r="B12" s="15">
        <f>C6/C7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8" customWidth="1" min="2" max="2"/>
    <col width="14" customWidth="1" min="3" max="3"/>
    <col width="9" customWidth="1" min="4" max="4"/>
    <col width="12" customWidth="1" min="5" max="5"/>
    <col width="13" customWidth="1" min="6" max="6"/>
    <col width="12" customWidth="1" min="7" max="7"/>
    <col width="12" customWidth="1" min="8" max="8"/>
    <col width="13" customWidth="1" min="9" max="9"/>
    <col width="9" customWidth="1" min="10" max="10"/>
    <col width="9" customWidth="1" min="11" max="11"/>
    <col width="8" customWidth="1" min="12" max="12"/>
    <col width="13" customWidth="1" min="13" max="13"/>
  </cols>
  <sheetData>
    <row r="1">
      <c r="A1" s="3" t="inlineStr">
        <is>
          <t>순위</t>
        </is>
      </c>
      <c r="B1" s="3" t="inlineStr">
        <is>
          <t>채널</t>
        </is>
      </c>
      <c r="C1" s="3" t="inlineStr">
        <is>
          <t>매출</t>
        </is>
      </c>
      <c r="D1" s="3" t="inlineStr">
        <is>
          <t>매출비중</t>
        </is>
      </c>
      <c r="E1" s="3" t="inlineStr">
        <is>
          <t>수수료</t>
        </is>
      </c>
      <c r="F1" s="3" t="inlineStr">
        <is>
          <t>원가</t>
        </is>
      </c>
      <c r="G1" s="3" t="inlineStr">
        <is>
          <t>광고비</t>
        </is>
      </c>
      <c r="H1" s="3" t="inlineStr">
        <is>
          <t>택배비</t>
        </is>
      </c>
      <c r="I1" s="3" t="inlineStr">
        <is>
          <t>영업이익</t>
        </is>
      </c>
      <c r="J1" s="3" t="inlineStr">
        <is>
          <t>이익률</t>
        </is>
      </c>
      <c r="K1" s="3" t="inlineStr">
        <is>
          <t>광고비율</t>
        </is>
      </c>
      <c r="L1" s="3" t="inlineStr">
        <is>
          <t>ROAS</t>
        </is>
      </c>
      <c r="M1" s="3" t="inlineStr">
        <is>
          <t>평가</t>
        </is>
      </c>
    </row>
    <row r="2">
      <c r="A2" s="4" t="n">
        <v>1</v>
      </c>
      <c r="B2" s="4" t="inlineStr">
        <is>
          <t>스마트스토어</t>
        </is>
      </c>
      <c r="C2" s="5" t="n">
        <v>39919870</v>
      </c>
      <c r="D2" s="6">
        <f>IFERROR(C2/C$26,0)</f>
        <v/>
      </c>
      <c r="E2" s="5" t="n">
        <v>1995994</v>
      </c>
      <c r="F2" s="5" t="n">
        <v>16866350</v>
      </c>
      <c r="G2" s="5" t="n">
        <v>6433113</v>
      </c>
      <c r="H2" s="5" t="n">
        <v>6578747</v>
      </c>
      <c r="I2" s="5" t="n">
        <v>8045666</v>
      </c>
      <c r="J2" s="6">
        <f>IFERROR(I2/C2,"-")</f>
        <v/>
      </c>
      <c r="K2" s="6">
        <f>IFERROR(G2/C2,"-")</f>
        <v/>
      </c>
      <c r="L2" s="7">
        <f>IF(G2&gt;0,C2/G2,"-")</f>
        <v/>
      </c>
      <c r="M2" s="4" t="inlineStr">
        <is>
          <t>🟡</t>
        </is>
      </c>
    </row>
    <row r="3">
      <c r="A3" s="4" t="n">
        <v>2</v>
      </c>
      <c r="B3" s="4" t="inlineStr">
        <is>
          <t>쿠팡(WING 신우)</t>
        </is>
      </c>
      <c r="C3" s="5" t="n">
        <v>24567370</v>
      </c>
      <c r="D3" s="6">
        <f>IFERROR(C3/C$26,0)</f>
        <v/>
      </c>
      <c r="E3" s="5" t="n">
        <v>2702411</v>
      </c>
      <c r="F3" s="5" t="n">
        <v>10582171</v>
      </c>
      <c r="G3" s="5" t="n">
        <v>3315890</v>
      </c>
      <c r="H3" s="5" t="n">
        <v>4048673</v>
      </c>
      <c r="I3" s="5" t="n">
        <v>3918225</v>
      </c>
      <c r="J3" s="6">
        <f>IFERROR(I3/C3,"-")</f>
        <v/>
      </c>
      <c r="K3" s="6">
        <f>IFERROR(G3/C3,"-")</f>
        <v/>
      </c>
      <c r="L3" s="7">
        <f>IF(G3&gt;0,C3/G3,"-")</f>
        <v/>
      </c>
      <c r="M3" s="4" t="inlineStr">
        <is>
          <t>🟠</t>
        </is>
      </c>
    </row>
    <row r="4">
      <c r="A4" s="4" t="n">
        <v>3</v>
      </c>
      <c r="B4" s="4" t="inlineStr">
        <is>
          <t>자사몰(미유박스)</t>
        </is>
      </c>
      <c r="C4" s="5" t="n">
        <v>16152734</v>
      </c>
      <c r="D4" s="6">
        <f>IFERROR(C4/C$26,0)</f>
        <v/>
      </c>
      <c r="E4" s="5" t="n">
        <v>807637</v>
      </c>
      <c r="F4" s="5" t="n">
        <v>7920724</v>
      </c>
      <c r="G4" s="5" t="n">
        <v>859660</v>
      </c>
      <c r="H4" s="5" t="n">
        <v>2661951</v>
      </c>
      <c r="I4" s="5" t="n">
        <v>3902762</v>
      </c>
      <c r="J4" s="6">
        <f>IFERROR(I4/C4,"-")</f>
        <v/>
      </c>
      <c r="K4" s="6">
        <f>IFERROR(G4/C4,"-")</f>
        <v/>
      </c>
      <c r="L4" s="7">
        <f>IF(G4&gt;0,C4/G4,"-")</f>
        <v/>
      </c>
      <c r="M4" s="4" t="inlineStr">
        <is>
          <t>🟡</t>
        </is>
      </c>
    </row>
    <row r="5">
      <c r="A5" s="4" t="n">
        <v>4</v>
      </c>
      <c r="B5" s="4" t="inlineStr">
        <is>
          <t>쿠팡(WING 미유)</t>
        </is>
      </c>
      <c r="C5" s="5" t="n">
        <v>13310740</v>
      </c>
      <c r="D5" s="6">
        <f>IFERROR(C5/C$26,0)</f>
        <v/>
      </c>
      <c r="E5" s="5" t="n">
        <v>1464181</v>
      </c>
      <c r="F5" s="5" t="n">
        <v>5716259</v>
      </c>
      <c r="G5" s="5" t="n">
        <v>1900777</v>
      </c>
      <c r="H5" s="5" t="n">
        <v>2193594</v>
      </c>
      <c r="I5" s="5" t="n">
        <v>2035929</v>
      </c>
      <c r="J5" s="6">
        <f>IFERROR(I5/C5,"-")</f>
        <v/>
      </c>
      <c r="K5" s="6">
        <f>IFERROR(G5/C5,"-")</f>
        <v/>
      </c>
      <c r="L5" s="7">
        <f>IF(G5&gt;0,C5/G5,"-")</f>
        <v/>
      </c>
      <c r="M5" s="4" t="inlineStr">
        <is>
          <t>🟠</t>
        </is>
      </c>
    </row>
    <row r="6">
      <c r="A6" s="16" t="n">
        <v>5</v>
      </c>
      <c r="B6" s="16" t="inlineStr">
        <is>
          <t>펫프렌즈(직매입)</t>
        </is>
      </c>
      <c r="C6" s="8" t="n">
        <v>4700384</v>
      </c>
      <c r="D6" s="9">
        <f>IFERROR(C6/C$26,0)</f>
        <v/>
      </c>
      <c r="E6" s="8" t="n">
        <v>1974161</v>
      </c>
      <c r="F6" s="8" t="n">
        <v>3219616</v>
      </c>
      <c r="G6" s="8" t="n">
        <v>1308031</v>
      </c>
      <c r="H6" s="8" t="n">
        <v>0</v>
      </c>
      <c r="I6" s="8" t="n">
        <v>172737</v>
      </c>
      <c r="J6" s="9">
        <f>IFERROR(I6/C6,"-")</f>
        <v/>
      </c>
      <c r="K6" s="9">
        <f>IFERROR(G6/C6,"-")</f>
        <v/>
      </c>
      <c r="L6" s="17">
        <f>IF(G6&gt;0,C6/G6,"-")</f>
        <v/>
      </c>
      <c r="M6" s="16" t="inlineStr">
        <is>
          <t>🔴 저마진</t>
        </is>
      </c>
    </row>
    <row r="7">
      <c r="A7" s="18" t="n">
        <v>6</v>
      </c>
      <c r="B7" s="18" t="inlineStr">
        <is>
          <t>펫프렌즈</t>
        </is>
      </c>
      <c r="C7" s="19" t="n">
        <v>2110100</v>
      </c>
      <c r="D7" s="20">
        <f>IFERROR(C7/C$26,0)</f>
        <v/>
      </c>
      <c r="E7" s="19" t="n">
        <v>527525</v>
      </c>
      <c r="F7" s="19" t="n">
        <v>822883</v>
      </c>
      <c r="G7" s="19" t="n">
        <v>1035252</v>
      </c>
      <c r="H7" s="19" t="n">
        <v>347742</v>
      </c>
      <c r="I7" s="19" t="n">
        <v>-623302</v>
      </c>
      <c r="J7" s="20">
        <f>IFERROR(I7/C7,"-")</f>
        <v/>
      </c>
      <c r="K7" s="20">
        <f>IFERROR(G7/C7,"-")</f>
        <v/>
      </c>
      <c r="L7" s="21">
        <f>IF(G7&gt;0,C7/G7,"-")</f>
        <v/>
      </c>
      <c r="M7" s="18" t="inlineStr">
        <is>
          <t>🔴 적자</t>
        </is>
      </c>
    </row>
    <row r="8">
      <c r="A8" s="4" t="n">
        <v>7</v>
      </c>
      <c r="B8" s="4" t="inlineStr">
        <is>
          <t>CJ온스타일</t>
        </is>
      </c>
      <c r="C8" s="5" t="n">
        <v>1892113</v>
      </c>
      <c r="D8" s="6">
        <f>IFERROR(C8/C$26,0)</f>
        <v/>
      </c>
      <c r="E8" s="5" t="n">
        <v>378423</v>
      </c>
      <c r="F8" s="5" t="n">
        <v>880735</v>
      </c>
      <c r="G8" s="5" t="n">
        <v>0</v>
      </c>
      <c r="H8" s="5" t="n">
        <v>311818</v>
      </c>
      <c r="I8" s="5" t="n">
        <v>321137</v>
      </c>
      <c r="J8" s="6">
        <f>IFERROR(I8/C8,"-")</f>
        <v/>
      </c>
      <c r="K8" s="6">
        <f>IFERROR(G8/C8,"-")</f>
        <v/>
      </c>
      <c r="L8" s="7">
        <f>IF(G8&gt;0,C8/G8,"-")</f>
        <v/>
      </c>
      <c r="M8" s="4" t="inlineStr">
        <is>
          <t>🟠</t>
        </is>
      </c>
    </row>
    <row r="9">
      <c r="A9" s="4" t="n">
        <v>8</v>
      </c>
      <c r="B9" s="4" t="inlineStr">
        <is>
          <t>롯데아이몰</t>
        </is>
      </c>
      <c r="C9" s="5" t="n">
        <v>1382700</v>
      </c>
      <c r="D9" s="6">
        <f>IFERROR(C9/C$26,0)</f>
        <v/>
      </c>
      <c r="E9" s="5" t="n">
        <v>248886</v>
      </c>
      <c r="F9" s="5" t="n">
        <v>620024</v>
      </c>
      <c r="G9" s="5" t="n">
        <v>0</v>
      </c>
      <c r="H9" s="5" t="n">
        <v>227867</v>
      </c>
      <c r="I9" s="5" t="n">
        <v>285923</v>
      </c>
      <c r="J9" s="6">
        <f>IFERROR(I9/C9,"-")</f>
        <v/>
      </c>
      <c r="K9" s="6">
        <f>IFERROR(G9/C9,"-")</f>
        <v/>
      </c>
      <c r="L9" s="7">
        <f>IF(G9&gt;0,C9/G9,"-")</f>
        <v/>
      </c>
      <c r="M9" s="4" t="inlineStr">
        <is>
          <t>🟡</t>
        </is>
      </c>
    </row>
    <row r="10">
      <c r="A10" s="4" t="n">
        <v>9</v>
      </c>
      <c r="B10" s="4" t="inlineStr">
        <is>
          <t>오늘의집</t>
        </is>
      </c>
      <c r="C10" s="5" t="n">
        <v>995240</v>
      </c>
      <c r="D10" s="6">
        <f>IFERROR(C10/C$26,0)</f>
        <v/>
      </c>
      <c r="E10" s="5" t="n">
        <v>179143</v>
      </c>
      <c r="F10" s="5" t="n">
        <v>406586</v>
      </c>
      <c r="G10" s="5" t="n">
        <v>0</v>
      </c>
      <c r="H10" s="5" t="n">
        <v>164014</v>
      </c>
      <c r="I10" s="5" t="n">
        <v>245496</v>
      </c>
      <c r="J10" s="6">
        <f>IFERROR(I10/C10,"-")</f>
        <v/>
      </c>
      <c r="K10" s="6">
        <f>IFERROR(G10/C10,"-")</f>
        <v/>
      </c>
      <c r="L10" s="7">
        <f>IF(G10&gt;0,C10/G10,"-")</f>
        <v/>
      </c>
      <c r="M10" s="4" t="inlineStr">
        <is>
          <t>🟡</t>
        </is>
      </c>
    </row>
    <row r="11">
      <c r="A11" s="16" t="n">
        <v>10</v>
      </c>
      <c r="B11" s="16" t="inlineStr">
        <is>
          <t>11번가</t>
        </is>
      </c>
      <c r="C11" s="8" t="n">
        <v>898330</v>
      </c>
      <c r="D11" s="9">
        <f>IFERROR(C11/C$26,0)</f>
        <v/>
      </c>
      <c r="E11" s="8" t="n">
        <v>116783</v>
      </c>
      <c r="F11" s="8" t="n">
        <v>400765</v>
      </c>
      <c r="G11" s="8" t="n">
        <v>172733</v>
      </c>
      <c r="H11" s="8" t="n">
        <v>148044</v>
      </c>
      <c r="I11" s="8" t="n">
        <v>60005</v>
      </c>
      <c r="J11" s="9">
        <f>IFERROR(I11/C11,"-")</f>
        <v/>
      </c>
      <c r="K11" s="9">
        <f>IFERROR(G11/C11,"-")</f>
        <v/>
      </c>
      <c r="L11" s="17">
        <f>IF(G11&gt;0,C11/G11,"-")</f>
        <v/>
      </c>
      <c r="M11" s="16" t="inlineStr">
        <is>
          <t>🔴 저마진</t>
        </is>
      </c>
    </row>
    <row r="12">
      <c r="A12" s="4" t="n">
        <v>11</v>
      </c>
      <c r="B12" s="4" t="inlineStr">
        <is>
          <t>현대이지웰</t>
        </is>
      </c>
      <c r="C12" s="5" t="n">
        <v>764900</v>
      </c>
      <c r="D12" s="6">
        <f>IFERROR(C12/C$26,0)</f>
        <v/>
      </c>
      <c r="E12" s="5" t="n">
        <v>114735</v>
      </c>
      <c r="F12" s="5" t="n">
        <v>372439</v>
      </c>
      <c r="G12" s="5" t="n">
        <v>0</v>
      </c>
      <c r="H12" s="5" t="n">
        <v>126055</v>
      </c>
      <c r="I12" s="5" t="n">
        <v>151671</v>
      </c>
      <c r="J12" s="6">
        <f>IFERROR(I12/C12,"-")</f>
        <v/>
      </c>
      <c r="K12" s="6">
        <f>IFERROR(G12/C12,"-")</f>
        <v/>
      </c>
      <c r="L12" s="7">
        <f>IF(G12&gt;0,C12/G12,"-")</f>
        <v/>
      </c>
      <c r="M12" s="4" t="inlineStr">
        <is>
          <t>🟠</t>
        </is>
      </c>
    </row>
    <row r="13">
      <c r="A13" s="4" t="n">
        <v>12</v>
      </c>
      <c r="B13" s="4" t="inlineStr">
        <is>
          <t>마켓컬리</t>
        </is>
      </c>
      <c r="C13" s="5" t="n">
        <v>559800</v>
      </c>
      <c r="D13" s="6">
        <f>IFERROR(C13/C$26,0)</f>
        <v/>
      </c>
      <c r="E13" s="5" t="n">
        <v>67176</v>
      </c>
      <c r="F13" s="5" t="n">
        <v>248398</v>
      </c>
      <c r="G13" s="5" t="n">
        <v>0</v>
      </c>
      <c r="H13" s="5" t="n">
        <v>92254</v>
      </c>
      <c r="I13" s="5" t="n">
        <v>151972</v>
      </c>
      <c r="J13" s="6">
        <f>IFERROR(I13/C13,"-")</f>
        <v/>
      </c>
      <c r="K13" s="6">
        <f>IFERROR(G13/C13,"-")</f>
        <v/>
      </c>
      <c r="L13" s="7">
        <f>IF(G13&gt;0,C13/G13,"-")</f>
        <v/>
      </c>
      <c r="M13" s="4" t="inlineStr">
        <is>
          <t>🟡</t>
        </is>
      </c>
    </row>
    <row r="14">
      <c r="A14" s="16" t="n">
        <v>13</v>
      </c>
      <c r="B14" s="16" t="inlineStr">
        <is>
          <t>지마켓</t>
        </is>
      </c>
      <c r="C14" s="8" t="n">
        <v>384760</v>
      </c>
      <c r="D14" s="9">
        <f>IFERROR(C14/C$26,0)</f>
        <v/>
      </c>
      <c r="E14" s="8" t="n">
        <v>50019</v>
      </c>
      <c r="F14" s="8" t="n">
        <v>173473</v>
      </c>
      <c r="G14" s="8" t="n">
        <v>92807</v>
      </c>
      <c r="H14" s="8" t="n">
        <v>63408</v>
      </c>
      <c r="I14" s="8" t="n">
        <v>5053</v>
      </c>
      <c r="J14" s="9">
        <f>IFERROR(I14/C14,"-")</f>
        <v/>
      </c>
      <c r="K14" s="9">
        <f>IFERROR(G14/C14,"-")</f>
        <v/>
      </c>
      <c r="L14" s="17">
        <f>IF(G14&gt;0,C14/G14,"-")</f>
        <v/>
      </c>
      <c r="M14" s="16" t="inlineStr">
        <is>
          <t>🔴 저마진</t>
        </is>
      </c>
    </row>
    <row r="15">
      <c r="A15" s="4" t="n">
        <v>14</v>
      </c>
      <c r="B15" s="4" t="inlineStr">
        <is>
          <t>GS</t>
        </is>
      </c>
      <c r="C15" s="5" t="n">
        <v>198969</v>
      </c>
      <c r="D15" s="6">
        <f>IFERROR(C15/C$26,0)</f>
        <v/>
      </c>
      <c r="E15" s="5" t="n">
        <v>33825</v>
      </c>
      <c r="F15" s="5" t="n">
        <v>90983</v>
      </c>
      <c r="G15" s="5" t="n">
        <v>0</v>
      </c>
      <c r="H15" s="5" t="n">
        <v>32790</v>
      </c>
      <c r="I15" s="5" t="n">
        <v>41371</v>
      </c>
      <c r="J15" s="6">
        <f>IFERROR(I15/C15,"-")</f>
        <v/>
      </c>
      <c r="K15" s="6">
        <f>IFERROR(G15/C15,"-")</f>
        <v/>
      </c>
      <c r="L15" s="7">
        <f>IF(G15&gt;0,C15/G15,"-")</f>
        <v/>
      </c>
      <c r="M15" s="4" t="inlineStr">
        <is>
          <t>🟡</t>
        </is>
      </c>
    </row>
    <row r="16">
      <c r="A16" s="4" t="n">
        <v>15</v>
      </c>
      <c r="B16" s="4" t="inlineStr">
        <is>
          <t>카카오쇼핑하기</t>
        </is>
      </c>
      <c r="C16" s="5" t="n">
        <v>187200</v>
      </c>
      <c r="D16" s="6">
        <f>IFERROR(C16/C$26,0)</f>
        <v/>
      </c>
      <c r="E16" s="5" t="n">
        <v>7488</v>
      </c>
      <c r="F16" s="5" t="n">
        <v>74386</v>
      </c>
      <c r="G16" s="5" t="n">
        <v>0</v>
      </c>
      <c r="H16" s="5" t="n">
        <v>30850</v>
      </c>
      <c r="I16" s="5" t="n">
        <v>74476</v>
      </c>
      <c r="J16" s="6">
        <f>IFERROR(I16/C16,"-")</f>
        <v/>
      </c>
      <c r="K16" s="6">
        <f>IFERROR(G16/C16,"-")</f>
        <v/>
      </c>
      <c r="L16" s="7">
        <f>IF(G16&gt;0,C16/G16,"-")</f>
        <v/>
      </c>
      <c r="M16" s="4" t="inlineStr">
        <is>
          <t>🟢</t>
        </is>
      </c>
    </row>
    <row r="17">
      <c r="A17" s="16" t="n">
        <v>16</v>
      </c>
      <c r="B17" s="16" t="inlineStr">
        <is>
          <t>스튜디오 얼라이브</t>
        </is>
      </c>
      <c r="C17" s="8" t="n">
        <v>146591</v>
      </c>
      <c r="D17" s="9">
        <f>IFERROR(C17/C$26,0)</f>
        <v/>
      </c>
      <c r="E17" s="8" t="n">
        <v>0</v>
      </c>
      <c r="F17" s="8" t="n">
        <v>0</v>
      </c>
      <c r="G17" s="8" t="n">
        <v>0</v>
      </c>
      <c r="H17" s="8" t="n">
        <v>0</v>
      </c>
      <c r="I17" s="8" t="n">
        <v>0</v>
      </c>
      <c r="J17" s="9">
        <f>IFERROR(I17/C17,"-")</f>
        <v/>
      </c>
      <c r="K17" s="9">
        <f>IFERROR(G17/C17,"-")</f>
        <v/>
      </c>
      <c r="L17" s="17">
        <f>IF(G17&gt;0,C17/G17,"-")</f>
        <v/>
      </c>
      <c r="M17" s="16" t="inlineStr">
        <is>
          <t>⚪ 정산 미반영</t>
        </is>
      </c>
    </row>
    <row r="18">
      <c r="A18" s="4" t="n">
        <v>17</v>
      </c>
      <c r="B18" s="4" t="inlineStr">
        <is>
          <t>SSG</t>
        </is>
      </c>
      <c r="C18" s="5" t="n">
        <v>127800</v>
      </c>
      <c r="D18" s="6">
        <f>IFERROR(C18/C$26,0)</f>
        <v/>
      </c>
      <c r="E18" s="5" t="n">
        <v>19170</v>
      </c>
      <c r="F18" s="5" t="n">
        <v>47906</v>
      </c>
      <c r="G18" s="5" t="n">
        <v>0</v>
      </c>
      <c r="H18" s="5" t="n">
        <v>21061</v>
      </c>
      <c r="I18" s="5" t="n">
        <v>39663</v>
      </c>
      <c r="J18" s="6">
        <f>IFERROR(I18/C18,"-")</f>
        <v/>
      </c>
      <c r="K18" s="6">
        <f>IFERROR(G18/C18,"-")</f>
        <v/>
      </c>
      <c r="L18" s="7">
        <f>IF(G18&gt;0,C18/G18,"-")</f>
        <v/>
      </c>
      <c r="M18" s="4" t="inlineStr">
        <is>
          <t>🟢</t>
        </is>
      </c>
    </row>
    <row r="19">
      <c r="A19" s="18" t="n">
        <v>18</v>
      </c>
      <c r="B19" s="18" t="inlineStr">
        <is>
          <t>쿠팡(직매입)</t>
        </is>
      </c>
      <c r="C19" s="19" t="n">
        <v>121472</v>
      </c>
      <c r="D19" s="20">
        <f>IFERROR(C19/C$26,0)</f>
        <v/>
      </c>
      <c r="E19" s="19" t="n">
        <v>52233</v>
      </c>
      <c r="F19" s="19" t="n">
        <v>67640</v>
      </c>
      <c r="G19" s="19" t="n">
        <v>2135557</v>
      </c>
      <c r="H19" s="19" t="n">
        <v>0</v>
      </c>
      <c r="I19" s="19" t="n">
        <v>-2081725</v>
      </c>
      <c r="J19" s="20">
        <f>IFERROR(I19/C19,"-")</f>
        <v/>
      </c>
      <c r="K19" s="20">
        <f>IFERROR(G19/C19,"-")</f>
        <v/>
      </c>
      <c r="L19" s="21">
        <f>IF(G19&gt;0,C19/G19,"-")</f>
        <v/>
      </c>
      <c r="M19" s="18" t="inlineStr">
        <is>
          <t>🔴 적자</t>
        </is>
      </c>
    </row>
    <row r="20">
      <c r="A20" s="4" t="n">
        <v>19</v>
      </c>
      <c r="B20" s="4" t="inlineStr">
        <is>
          <t>홈앤쇼핑</t>
        </is>
      </c>
      <c r="C20" s="5" t="n">
        <v>94260</v>
      </c>
      <c r="D20" s="6">
        <f>IFERROR(C20/C$26,0)</f>
        <v/>
      </c>
      <c r="E20" s="5" t="n">
        <v>14139</v>
      </c>
      <c r="F20" s="5" t="n">
        <v>42865</v>
      </c>
      <c r="G20" s="5" t="n">
        <v>0</v>
      </c>
      <c r="H20" s="5" t="n">
        <v>15534</v>
      </c>
      <c r="I20" s="5" t="n">
        <v>21722</v>
      </c>
      <c r="J20" s="6">
        <f>IFERROR(I20/C20,"-")</f>
        <v/>
      </c>
      <c r="K20" s="6">
        <f>IFERROR(G20/C20,"-")</f>
        <v/>
      </c>
      <c r="L20" s="7">
        <f>IF(G20&gt;0,C20/G20,"-")</f>
        <v/>
      </c>
      <c r="M20" s="4" t="inlineStr">
        <is>
          <t>🟡</t>
        </is>
      </c>
    </row>
    <row r="21">
      <c r="A21" s="16" t="n">
        <v>20</v>
      </c>
      <c r="B21" s="16" t="inlineStr">
        <is>
          <t>무신사</t>
        </is>
      </c>
      <c r="C21" s="8" t="n">
        <v>92070</v>
      </c>
      <c r="D21" s="9">
        <f>IFERROR(C21/C$26,0)</f>
        <v/>
      </c>
      <c r="E21" s="8" t="n">
        <v>26700</v>
      </c>
      <c r="F21" s="8" t="n">
        <v>45461</v>
      </c>
      <c r="G21" s="8" t="n">
        <v>0</v>
      </c>
      <c r="H21" s="8" t="n">
        <v>15173</v>
      </c>
      <c r="I21" s="8" t="n">
        <v>4736</v>
      </c>
      <c r="J21" s="9">
        <f>IFERROR(I21/C21,"-")</f>
        <v/>
      </c>
      <c r="K21" s="9">
        <f>IFERROR(G21/C21,"-")</f>
        <v/>
      </c>
      <c r="L21" s="17">
        <f>IF(G21&gt;0,C21/G21,"-")</f>
        <v/>
      </c>
      <c r="M21" s="16" t="inlineStr">
        <is>
          <t>🔴 저마진</t>
        </is>
      </c>
    </row>
    <row r="22">
      <c r="A22" s="4" t="n">
        <v>21</v>
      </c>
      <c r="B22" s="4" t="inlineStr">
        <is>
          <t>현대H몰</t>
        </is>
      </c>
      <c r="C22" s="5" t="n">
        <v>30000</v>
      </c>
      <c r="D22" s="6">
        <f>IFERROR(C22/C$26,0)</f>
        <v/>
      </c>
      <c r="E22" s="5" t="n">
        <v>4500</v>
      </c>
      <c r="F22" s="5" t="n">
        <v>12345</v>
      </c>
      <c r="G22" s="5" t="n">
        <v>0</v>
      </c>
      <c r="H22" s="5" t="n">
        <v>4944</v>
      </c>
      <c r="I22" s="5" t="n">
        <v>8211</v>
      </c>
      <c r="J22" s="6">
        <f>IFERROR(I22/C22,"-")</f>
        <v/>
      </c>
      <c r="K22" s="6">
        <f>IFERROR(G22/C22,"-")</f>
        <v/>
      </c>
      <c r="L22" s="7">
        <f>IF(G22&gt;0,C22/G22,"-")</f>
        <v/>
      </c>
      <c r="M22" s="4" t="inlineStr">
        <is>
          <t>🟡</t>
        </is>
      </c>
    </row>
    <row r="23">
      <c r="A23" s="4" t="n">
        <v>22</v>
      </c>
      <c r="B23" s="4" t="inlineStr">
        <is>
          <t>옥션</t>
        </is>
      </c>
      <c r="C23" s="5" t="n">
        <v>29920</v>
      </c>
      <c r="D23" s="6">
        <f>IFERROR(C23/C$26,0)</f>
        <v/>
      </c>
      <c r="E23" s="5" t="n">
        <v>3890</v>
      </c>
      <c r="F23" s="5" t="n">
        <v>12345</v>
      </c>
      <c r="G23" s="5" t="n">
        <v>0</v>
      </c>
      <c r="H23" s="5" t="n">
        <v>4931</v>
      </c>
      <c r="I23" s="5" t="n">
        <v>8755</v>
      </c>
      <c r="J23" s="6">
        <f>IFERROR(I23/C23,"-")</f>
        <v/>
      </c>
      <c r="K23" s="6">
        <f>IFERROR(G23/C23,"-")</f>
        <v/>
      </c>
      <c r="L23" s="7">
        <f>IF(G23&gt;0,C23/G23,"-")</f>
        <v/>
      </c>
      <c r="M23" s="4" t="inlineStr">
        <is>
          <t>🟡</t>
        </is>
      </c>
    </row>
    <row r="24">
      <c r="A24" s="4" t="n">
        <v>23</v>
      </c>
      <c r="B24" s="4" t="inlineStr">
        <is>
          <t>카카오톡선물하기</t>
        </is>
      </c>
      <c r="C24" s="5" t="n">
        <v>20000</v>
      </c>
      <c r="D24" s="6">
        <f>IFERROR(C24/C$26,0)</f>
        <v/>
      </c>
      <c r="E24" s="5" t="n">
        <v>4000</v>
      </c>
      <c r="F24" s="5" t="n">
        <v>5140</v>
      </c>
      <c r="G24" s="5" t="n">
        <v>0</v>
      </c>
      <c r="H24" s="5" t="n">
        <v>3296</v>
      </c>
      <c r="I24" s="5" t="n">
        <v>7564</v>
      </c>
      <c r="J24" s="6">
        <f>IFERROR(I24/C24,"-")</f>
        <v/>
      </c>
      <c r="K24" s="6">
        <f>IFERROR(G24/C24,"-")</f>
        <v/>
      </c>
      <c r="L24" s="7">
        <f>IF(G24&gt;0,C24/G24,"-")</f>
        <v/>
      </c>
      <c r="M24" s="4" t="inlineStr">
        <is>
          <t>🟢</t>
        </is>
      </c>
    </row>
    <row r="25">
      <c r="A25" s="18" t="n">
        <v>24</v>
      </c>
      <c r="B25" s="18" t="inlineStr">
        <is>
          <t>알리익스프레스</t>
        </is>
      </c>
      <c r="C25" s="19" t="n">
        <v>0</v>
      </c>
      <c r="D25" s="20">
        <f>IFERROR(C25/C$26,0)</f>
        <v/>
      </c>
      <c r="E25" s="19" t="n">
        <v>0</v>
      </c>
      <c r="F25" s="19" t="n">
        <v>0</v>
      </c>
      <c r="G25" s="19" t="n">
        <v>94998</v>
      </c>
      <c r="H25" s="19" t="n">
        <v>0</v>
      </c>
      <c r="I25" s="19" t="n">
        <v>-94998</v>
      </c>
      <c r="J25" s="20">
        <f>IFERROR(I25/C25,"-")</f>
        <v/>
      </c>
      <c r="K25" s="20">
        <f>IFERROR(G25/C25,"-")</f>
        <v/>
      </c>
      <c r="L25" s="21">
        <f>IF(G25&gt;0,C25/G25,"-")</f>
        <v/>
      </c>
      <c r="M25" s="18" t="inlineStr">
        <is>
          <t>🔴 적자</t>
        </is>
      </c>
    </row>
    <row r="26">
      <c r="A26" s="10" t="n"/>
      <c r="B26" s="10" t="inlineStr">
        <is>
          <t>합계</t>
        </is>
      </c>
      <c r="C26" s="11" t="n">
        <v>108687323</v>
      </c>
      <c r="D26" s="12" t="n">
        <v>1</v>
      </c>
      <c r="E26" s="11" t="n">
        <v>10793019</v>
      </c>
      <c r="F26" s="11" t="n">
        <v>48629494</v>
      </c>
      <c r="G26" s="11" t="n">
        <v>17348818</v>
      </c>
      <c r="H26" s="11" t="n">
        <v>17092746</v>
      </c>
      <c r="I26" s="11" t="n">
        <v>16703049</v>
      </c>
      <c r="J26" s="12">
        <f>I26/C26</f>
        <v/>
      </c>
      <c r="K26" s="12">
        <f>G26/C26</f>
        <v/>
      </c>
      <c r="L26" s="13">
        <f>C26/G26</f>
        <v/>
      </c>
      <c r="M26" s="10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8" customWidth="1" min="2" max="2"/>
    <col width="14" customWidth="1" min="3" max="3"/>
    <col width="9" customWidth="1" min="4" max="4"/>
    <col width="12" customWidth="1" min="5" max="5"/>
    <col width="13" customWidth="1" min="6" max="6"/>
    <col width="12" customWidth="1" min="7" max="7"/>
    <col width="12" customWidth="1" min="8" max="8"/>
    <col width="13" customWidth="1" min="9" max="9"/>
    <col width="9" customWidth="1" min="10" max="10"/>
    <col width="9" customWidth="1" min="11" max="11"/>
    <col width="8" customWidth="1" min="12" max="12"/>
    <col width="13" customWidth="1" min="13" max="13"/>
  </cols>
  <sheetData>
    <row r="1">
      <c r="A1" s="3" t="inlineStr">
        <is>
          <t>순위</t>
        </is>
      </c>
      <c r="B1" s="3" t="inlineStr">
        <is>
          <t>채널</t>
        </is>
      </c>
      <c r="C1" s="3" t="inlineStr">
        <is>
          <t>매출</t>
        </is>
      </c>
      <c r="D1" s="3" t="inlineStr">
        <is>
          <t>매출비중</t>
        </is>
      </c>
      <c r="E1" s="3" t="inlineStr">
        <is>
          <t>수수료</t>
        </is>
      </c>
      <c r="F1" s="3" t="inlineStr">
        <is>
          <t>원가</t>
        </is>
      </c>
      <c r="G1" s="3" t="inlineStr">
        <is>
          <t>광고비</t>
        </is>
      </c>
      <c r="H1" s="3" t="inlineStr">
        <is>
          <t>택배비</t>
        </is>
      </c>
      <c r="I1" s="3" t="inlineStr">
        <is>
          <t>영업이익</t>
        </is>
      </c>
      <c r="J1" s="3" t="inlineStr">
        <is>
          <t>이익률</t>
        </is>
      </c>
      <c r="K1" s="3" t="inlineStr">
        <is>
          <t>광고비율</t>
        </is>
      </c>
      <c r="L1" s="3" t="inlineStr">
        <is>
          <t>ROAS</t>
        </is>
      </c>
      <c r="M1" s="3" t="inlineStr">
        <is>
          <t>평가</t>
        </is>
      </c>
    </row>
    <row r="2">
      <c r="A2" s="4" t="n">
        <v>1</v>
      </c>
      <c r="B2" s="4" t="inlineStr">
        <is>
          <t>스마트스토어</t>
        </is>
      </c>
      <c r="C2" s="5" t="n">
        <v>18471410</v>
      </c>
      <c r="D2" s="6">
        <f>IFERROR(C2/C$19,0)</f>
        <v/>
      </c>
      <c r="E2" s="5" t="n">
        <v>923571</v>
      </c>
      <c r="F2" s="5" t="n">
        <v>7024686</v>
      </c>
      <c r="G2" s="5" t="n">
        <v>0</v>
      </c>
      <c r="H2" s="5" t="n">
        <v>3044066</v>
      </c>
      <c r="I2" s="5" t="n">
        <v>7479087</v>
      </c>
      <c r="J2" s="6">
        <f>IFERROR(I2/C2,"-")</f>
        <v/>
      </c>
      <c r="K2" s="6">
        <f>IFERROR(G2/C2,"-")</f>
        <v/>
      </c>
      <c r="L2" s="7">
        <f>IF(G2&gt;0,C2/G2,"-")</f>
        <v/>
      </c>
      <c r="M2" s="4" t="inlineStr">
        <is>
          <t>🟢</t>
        </is>
      </c>
    </row>
    <row r="3">
      <c r="A3" s="4" t="n">
        <v>2</v>
      </c>
      <c r="B3" s="4" t="inlineStr">
        <is>
          <t>마켓컬리(샛별배송)</t>
        </is>
      </c>
      <c r="C3" s="5" t="n">
        <v>3364100</v>
      </c>
      <c r="D3" s="6">
        <f>IFERROR(C3/C$19,0)</f>
        <v/>
      </c>
      <c r="E3" s="5" t="n">
        <v>908307</v>
      </c>
      <c r="F3" s="5" t="n">
        <v>1335180</v>
      </c>
      <c r="G3" s="5" t="n">
        <v>0</v>
      </c>
      <c r="H3" s="5" t="n">
        <v>0</v>
      </c>
      <c r="I3" s="5" t="n">
        <v>2028920</v>
      </c>
      <c r="J3" s="6">
        <f>IFERROR(I3/C3,"-")</f>
        <v/>
      </c>
      <c r="K3" s="6">
        <f>IFERROR(G3/C3,"-")</f>
        <v/>
      </c>
      <c r="L3" s="7">
        <f>IF(G3&gt;0,C3/G3,"-")</f>
        <v/>
      </c>
      <c r="M3" s="4" t="inlineStr">
        <is>
          <t>🟢</t>
        </is>
      </c>
    </row>
    <row r="4">
      <c r="A4" s="4" t="n">
        <v>3</v>
      </c>
      <c r="B4" s="4" t="inlineStr">
        <is>
          <t>자사몰(다봉스토어)</t>
        </is>
      </c>
      <c r="C4" s="5" t="n">
        <v>1683647</v>
      </c>
      <c r="D4" s="6">
        <f>IFERROR(C4/C$19,0)</f>
        <v/>
      </c>
      <c r="E4" s="5" t="n">
        <v>84182</v>
      </c>
      <c r="F4" s="5" t="n">
        <v>664184</v>
      </c>
      <c r="G4" s="5" t="n">
        <v>0</v>
      </c>
      <c r="H4" s="5" t="n">
        <v>277463</v>
      </c>
      <c r="I4" s="5" t="n">
        <v>657818</v>
      </c>
      <c r="J4" s="6">
        <f>IFERROR(I4/C4,"-")</f>
        <v/>
      </c>
      <c r="K4" s="6">
        <f>IFERROR(G4/C4,"-")</f>
        <v/>
      </c>
      <c r="L4" s="7">
        <f>IF(G4&gt;0,C4/G4,"-")</f>
        <v/>
      </c>
      <c r="M4" s="4" t="inlineStr">
        <is>
          <t>🟢</t>
        </is>
      </c>
    </row>
    <row r="5">
      <c r="A5" s="18" t="n">
        <v>4</v>
      </c>
      <c r="B5" s="18" t="inlineStr">
        <is>
          <t>지마켓</t>
        </is>
      </c>
      <c r="C5" s="19" t="n">
        <v>1068640</v>
      </c>
      <c r="D5" s="20">
        <f>IFERROR(C5/C$19,0)</f>
        <v/>
      </c>
      <c r="E5" s="19" t="n">
        <v>138923</v>
      </c>
      <c r="F5" s="19" t="n">
        <v>628374</v>
      </c>
      <c r="G5" s="19" t="n">
        <v>327613</v>
      </c>
      <c r="H5" s="19" t="n">
        <v>176111</v>
      </c>
      <c r="I5" s="19" t="n">
        <v>-202381</v>
      </c>
      <c r="J5" s="20">
        <f>IFERROR(I5/C5,"-")</f>
        <v/>
      </c>
      <c r="K5" s="20">
        <f>IFERROR(G5/C5,"-")</f>
        <v/>
      </c>
      <c r="L5" s="21">
        <f>IF(G5&gt;0,C5/G5,"-")</f>
        <v/>
      </c>
      <c r="M5" s="18" t="inlineStr">
        <is>
          <t>🔴 적자</t>
        </is>
      </c>
    </row>
    <row r="6">
      <c r="A6" s="16" t="n">
        <v>5</v>
      </c>
      <c r="B6" s="16" t="inlineStr">
        <is>
          <t>11번가</t>
        </is>
      </c>
      <c r="C6" s="8" t="n">
        <v>998410</v>
      </c>
      <c r="D6" s="9">
        <f>IFERROR(C6/C$19,0)</f>
        <v/>
      </c>
      <c r="E6" s="8" t="n">
        <v>89857</v>
      </c>
      <c r="F6" s="8" t="n">
        <v>534446</v>
      </c>
      <c r="G6" s="8" t="n">
        <v>166193</v>
      </c>
      <c r="H6" s="8" t="n">
        <v>164537</v>
      </c>
      <c r="I6" s="8" t="n">
        <v>43377</v>
      </c>
      <c r="J6" s="9">
        <f>IFERROR(I6/C6,"-")</f>
        <v/>
      </c>
      <c r="K6" s="9">
        <f>IFERROR(G6/C6,"-")</f>
        <v/>
      </c>
      <c r="L6" s="17">
        <f>IF(G6&gt;0,C6/G6,"-")</f>
        <v/>
      </c>
      <c r="M6" s="16" t="inlineStr">
        <is>
          <t>🔴 저마진</t>
        </is>
      </c>
    </row>
    <row r="7">
      <c r="A7" s="18" t="n">
        <v>6</v>
      </c>
      <c r="B7" s="18" t="inlineStr">
        <is>
          <t>쿠팡(WING 신우)</t>
        </is>
      </c>
      <c r="C7" s="19" t="n">
        <v>779570</v>
      </c>
      <c r="D7" s="20">
        <f>IFERROR(C7/C$19,0)</f>
        <v/>
      </c>
      <c r="E7" s="19" t="n">
        <v>62366</v>
      </c>
      <c r="F7" s="19" t="n">
        <v>289428</v>
      </c>
      <c r="G7" s="19" t="n">
        <v>470924</v>
      </c>
      <c r="H7" s="19" t="n">
        <v>128472</v>
      </c>
      <c r="I7" s="19" t="n">
        <v>-171620</v>
      </c>
      <c r="J7" s="20">
        <f>IFERROR(I7/C7,"-")</f>
        <v/>
      </c>
      <c r="K7" s="20">
        <f>IFERROR(G7/C7,"-")</f>
        <v/>
      </c>
      <c r="L7" s="21">
        <f>IF(G7&gt;0,C7/G7,"-")</f>
        <v/>
      </c>
      <c r="M7" s="18" t="inlineStr">
        <is>
          <t>🔴 적자</t>
        </is>
      </c>
    </row>
    <row r="8">
      <c r="A8" s="4" t="n">
        <v>7</v>
      </c>
      <c r="B8" s="4" t="inlineStr">
        <is>
          <t>마켓컬리</t>
        </is>
      </c>
      <c r="C8" s="5" t="n">
        <v>566700</v>
      </c>
      <c r="D8" s="6">
        <f>IFERROR(C8/C$19,0)</f>
        <v/>
      </c>
      <c r="E8" s="5" t="n">
        <v>68004</v>
      </c>
      <c r="F8" s="5" t="n">
        <v>290829</v>
      </c>
      <c r="G8" s="5" t="n">
        <v>0</v>
      </c>
      <c r="H8" s="5" t="n">
        <v>93391</v>
      </c>
      <c r="I8" s="5" t="n">
        <v>114476</v>
      </c>
      <c r="J8" s="6">
        <f>IFERROR(I8/C8,"-")</f>
        <v/>
      </c>
      <c r="K8" s="6">
        <f>IFERROR(G8/C8,"-")</f>
        <v/>
      </c>
      <c r="L8" s="7">
        <f>IF(G8&gt;0,C8/G8,"-")</f>
        <v/>
      </c>
      <c r="M8" s="4" t="inlineStr">
        <is>
          <t>🟡</t>
        </is>
      </c>
    </row>
    <row r="9">
      <c r="A9" s="4" t="n">
        <v>8</v>
      </c>
      <c r="B9" s="4" t="inlineStr">
        <is>
          <t>카카오톡선물하기</t>
        </is>
      </c>
      <c r="C9" s="5" t="n">
        <v>540700</v>
      </c>
      <c r="D9" s="6">
        <f>IFERROR(C9/C$19,0)</f>
        <v/>
      </c>
      <c r="E9" s="5" t="n">
        <v>81105</v>
      </c>
      <c r="F9" s="5" t="n">
        <v>257724</v>
      </c>
      <c r="G9" s="5" t="n">
        <v>0</v>
      </c>
      <c r="H9" s="5" t="n">
        <v>89107</v>
      </c>
      <c r="I9" s="5" t="n">
        <v>112764</v>
      </c>
      <c r="J9" s="6">
        <f>IFERROR(I9/C9,"-")</f>
        <v/>
      </c>
      <c r="K9" s="6">
        <f>IFERROR(G9/C9,"-")</f>
        <v/>
      </c>
      <c r="L9" s="7">
        <f>IF(G9&gt;0,C9/G9,"-")</f>
        <v/>
      </c>
      <c r="M9" s="4" t="inlineStr">
        <is>
          <t>🟡</t>
        </is>
      </c>
    </row>
    <row r="10">
      <c r="A10" s="4" t="n">
        <v>9</v>
      </c>
      <c r="B10" s="4" t="inlineStr">
        <is>
          <t>쿠팡(WING 미유)</t>
        </is>
      </c>
      <c r="C10" s="5" t="n">
        <v>525160</v>
      </c>
      <c r="D10" s="6">
        <f>IFERROR(C10/C$19,0)</f>
        <v/>
      </c>
      <c r="E10" s="5" t="n">
        <v>42013</v>
      </c>
      <c r="F10" s="5" t="n">
        <v>259373</v>
      </c>
      <c r="G10" s="5" t="n">
        <v>48397</v>
      </c>
      <c r="H10" s="5" t="n">
        <v>86546</v>
      </c>
      <c r="I10" s="5" t="n">
        <v>88831</v>
      </c>
      <c r="J10" s="6">
        <f>IFERROR(I10/C10,"-")</f>
        <v/>
      </c>
      <c r="K10" s="6">
        <f>IFERROR(G10/C10,"-")</f>
        <v/>
      </c>
      <c r="L10" s="7">
        <f>IF(G10&gt;0,C10/G10,"-")</f>
        <v/>
      </c>
      <c r="M10" s="4" t="inlineStr">
        <is>
          <t>🟠</t>
        </is>
      </c>
    </row>
    <row r="11">
      <c r="A11" s="16" t="n">
        <v>10</v>
      </c>
      <c r="B11" s="16" t="inlineStr">
        <is>
          <t>오늘의집</t>
        </is>
      </c>
      <c r="C11" s="8" t="n">
        <v>93800</v>
      </c>
      <c r="D11" s="9">
        <f>IFERROR(C11/C$19,0)</f>
        <v/>
      </c>
      <c r="E11" s="8" t="n">
        <v>12194</v>
      </c>
      <c r="F11" s="8" t="n">
        <v>62524</v>
      </c>
      <c r="G11" s="8" t="n">
        <v>0</v>
      </c>
      <c r="H11" s="8" t="n">
        <v>15458</v>
      </c>
      <c r="I11" s="8" t="n">
        <v>3624</v>
      </c>
      <c r="J11" s="9">
        <f>IFERROR(I11/C11,"-")</f>
        <v/>
      </c>
      <c r="K11" s="9">
        <f>IFERROR(G11/C11,"-")</f>
        <v/>
      </c>
      <c r="L11" s="17">
        <f>IF(G11&gt;0,C11/G11,"-")</f>
        <v/>
      </c>
      <c r="M11" s="16" t="inlineStr">
        <is>
          <t>🔴 저마진</t>
        </is>
      </c>
    </row>
    <row r="12">
      <c r="A12" s="4" t="n">
        <v>11</v>
      </c>
      <c r="B12" s="4" t="inlineStr">
        <is>
          <t>카카오쇼핑하기</t>
        </is>
      </c>
      <c r="C12" s="5" t="n">
        <v>76150</v>
      </c>
      <c r="D12" s="6">
        <f>IFERROR(C12/C$19,0)</f>
        <v/>
      </c>
      <c r="E12" s="5" t="n">
        <v>3046</v>
      </c>
      <c r="F12" s="5" t="n">
        <v>37514</v>
      </c>
      <c r="G12" s="5" t="n">
        <v>0</v>
      </c>
      <c r="H12" s="5" t="n">
        <v>12549</v>
      </c>
      <c r="I12" s="5" t="n">
        <v>23041</v>
      </c>
      <c r="J12" s="6">
        <f>IFERROR(I12/C12,"-")</f>
        <v/>
      </c>
      <c r="K12" s="6">
        <f>IFERROR(G12/C12,"-")</f>
        <v/>
      </c>
      <c r="L12" s="7">
        <f>IF(G12&gt;0,C12/G12,"-")</f>
        <v/>
      </c>
      <c r="M12" s="4" t="inlineStr">
        <is>
          <t>🟢</t>
        </is>
      </c>
    </row>
    <row r="13">
      <c r="A13" s="16" t="n">
        <v>12</v>
      </c>
      <c r="B13" s="16" t="inlineStr">
        <is>
          <t>홈앤쇼핑</t>
        </is>
      </c>
      <c r="C13" s="8" t="n">
        <v>41460</v>
      </c>
      <c r="D13" s="9">
        <f>IFERROR(C13/C$19,0)</f>
        <v/>
      </c>
      <c r="E13" s="8" t="n">
        <v>13682</v>
      </c>
      <c r="F13" s="8" t="n">
        <v>17664</v>
      </c>
      <c r="G13" s="8" t="n">
        <v>0</v>
      </c>
      <c r="H13" s="8" t="n">
        <v>6833</v>
      </c>
      <c r="I13" s="8" t="n">
        <v>3282</v>
      </c>
      <c r="J13" s="9">
        <f>IFERROR(I13/C13,"-")</f>
        <v/>
      </c>
      <c r="K13" s="9">
        <f>IFERROR(G13/C13,"-")</f>
        <v/>
      </c>
      <c r="L13" s="17">
        <f>IF(G13&gt;0,C13/G13,"-")</f>
        <v/>
      </c>
      <c r="M13" s="16" t="inlineStr">
        <is>
          <t>🔴 저마진</t>
        </is>
      </c>
    </row>
    <row r="14">
      <c r="A14" s="4" t="n">
        <v>13</v>
      </c>
      <c r="B14" s="4" t="inlineStr">
        <is>
          <t>CJ온스타일</t>
        </is>
      </c>
      <c r="C14" s="5" t="n">
        <v>33950</v>
      </c>
      <c r="D14" s="6">
        <f>IFERROR(C14/C$19,0)</f>
        <v/>
      </c>
      <c r="E14" s="5" t="n">
        <v>6790</v>
      </c>
      <c r="F14" s="5" t="n">
        <v>13750</v>
      </c>
      <c r="G14" s="5" t="n">
        <v>0</v>
      </c>
      <c r="H14" s="5" t="n">
        <v>5595</v>
      </c>
      <c r="I14" s="5" t="n">
        <v>7815</v>
      </c>
      <c r="J14" s="6">
        <f>IFERROR(I14/C14,"-")</f>
        <v/>
      </c>
      <c r="K14" s="6">
        <f>IFERROR(G14/C14,"-")</f>
        <v/>
      </c>
      <c r="L14" s="7">
        <f>IF(G14&gt;0,C14/G14,"-")</f>
        <v/>
      </c>
      <c r="M14" s="4" t="inlineStr">
        <is>
          <t>🟡</t>
        </is>
      </c>
    </row>
    <row r="15">
      <c r="A15" s="4" t="n">
        <v>14</v>
      </c>
      <c r="B15" s="4" t="inlineStr">
        <is>
          <t>현대H몰</t>
        </is>
      </c>
      <c r="C15" s="5" t="n">
        <v>29700</v>
      </c>
      <c r="D15" s="6">
        <f>IFERROR(C15/C$19,0)</f>
        <v/>
      </c>
      <c r="E15" s="5" t="n">
        <v>4455</v>
      </c>
      <c r="F15" s="5" t="n">
        <v>6699</v>
      </c>
      <c r="G15" s="5" t="n">
        <v>0</v>
      </c>
      <c r="H15" s="5" t="n">
        <v>4895</v>
      </c>
      <c r="I15" s="5" t="n">
        <v>13651</v>
      </c>
      <c r="J15" s="6">
        <f>IFERROR(I15/C15,"-")</f>
        <v/>
      </c>
      <c r="K15" s="6">
        <f>IFERROR(G15/C15,"-")</f>
        <v/>
      </c>
      <c r="L15" s="7">
        <f>IF(G15&gt;0,C15/G15,"-")</f>
        <v/>
      </c>
      <c r="M15" s="4" t="inlineStr">
        <is>
          <t>🟢</t>
        </is>
      </c>
    </row>
    <row r="16">
      <c r="A16" s="4" t="n">
        <v>15</v>
      </c>
      <c r="B16" s="4" t="inlineStr">
        <is>
          <t>씨케이커머스</t>
        </is>
      </c>
      <c r="C16" s="5" t="n">
        <v>24044</v>
      </c>
      <c r="D16" s="6">
        <f>IFERROR(C16/C$19,0)</f>
        <v/>
      </c>
      <c r="E16" s="5" t="n">
        <v>3126</v>
      </c>
      <c r="F16" s="5" t="n">
        <v>9240</v>
      </c>
      <c r="G16" s="5" t="n">
        <v>0</v>
      </c>
      <c r="H16" s="5" t="n">
        <v>3962</v>
      </c>
      <c r="I16" s="5" t="n">
        <v>7716</v>
      </c>
      <c r="J16" s="6">
        <f>IFERROR(I16/C16,"-")</f>
        <v/>
      </c>
      <c r="K16" s="6">
        <f>IFERROR(G16/C16,"-")</f>
        <v/>
      </c>
      <c r="L16" s="7">
        <f>IF(G16&gt;0,C16/G16,"-")</f>
        <v/>
      </c>
      <c r="M16" s="4" t="inlineStr">
        <is>
          <t>🟢</t>
        </is>
      </c>
    </row>
    <row r="17">
      <c r="A17" s="4" t="n">
        <v>16</v>
      </c>
      <c r="B17" s="4" t="inlineStr">
        <is>
          <t>GS</t>
        </is>
      </c>
      <c r="C17" s="5" t="n">
        <v>11534</v>
      </c>
      <c r="D17" s="6">
        <f>IFERROR(C17/C$19,0)</f>
        <v/>
      </c>
      <c r="E17" s="5" t="n">
        <v>1730</v>
      </c>
      <c r="F17" s="5" t="n">
        <v>5360</v>
      </c>
      <c r="G17" s="5" t="n">
        <v>0</v>
      </c>
      <c r="H17" s="5" t="n">
        <v>1901</v>
      </c>
      <c r="I17" s="5" t="n">
        <v>2543</v>
      </c>
      <c r="J17" s="6">
        <f>IFERROR(I17/C17,"-")</f>
        <v/>
      </c>
      <c r="K17" s="6">
        <f>IFERROR(G17/C17,"-")</f>
        <v/>
      </c>
      <c r="L17" s="7">
        <f>IF(G17&gt;0,C17/G17,"-")</f>
        <v/>
      </c>
      <c r="M17" s="4" t="inlineStr">
        <is>
          <t>🟡</t>
        </is>
      </c>
    </row>
    <row r="18">
      <c r="A18" s="4" t="n">
        <v>17</v>
      </c>
      <c r="B18" s="4" t="inlineStr">
        <is>
          <t>무신사</t>
        </is>
      </c>
      <c r="C18" s="5" t="n">
        <v>10730</v>
      </c>
      <c r="D18" s="6">
        <f>IFERROR(C18/C$19,0)</f>
        <v/>
      </c>
      <c r="E18" s="5" t="n">
        <v>3112</v>
      </c>
      <c r="F18" s="5" t="n">
        <v>2680</v>
      </c>
      <c r="G18" s="5" t="n">
        <v>0</v>
      </c>
      <c r="H18" s="5" t="n">
        <v>1768</v>
      </c>
      <c r="I18" s="5" t="n">
        <v>3170</v>
      </c>
      <c r="J18" s="6">
        <f>IFERROR(I18/C18,"-")</f>
        <v/>
      </c>
      <c r="K18" s="6">
        <f>IFERROR(G18/C18,"-")</f>
        <v/>
      </c>
      <c r="L18" s="7">
        <f>IF(G18&gt;0,C18/G18,"-")</f>
        <v/>
      </c>
      <c r="M18" s="4" t="inlineStr">
        <is>
          <t>🟡</t>
        </is>
      </c>
    </row>
    <row r="19">
      <c r="A19" s="10" t="n"/>
      <c r="B19" s="10" t="inlineStr">
        <is>
          <t>합계</t>
        </is>
      </c>
      <c r="C19" s="11" t="n">
        <v>28319705</v>
      </c>
      <c r="D19" s="12" t="n">
        <v>1</v>
      </c>
      <c r="E19" s="11" t="n">
        <v>2446463</v>
      </c>
      <c r="F19" s="11" t="n">
        <v>11439655</v>
      </c>
      <c r="G19" s="11" t="n">
        <v>1013127</v>
      </c>
      <c r="H19" s="11" t="n">
        <v>4112654</v>
      </c>
      <c r="I19" s="11" t="n">
        <v>10216114</v>
      </c>
      <c r="J19" s="12">
        <f>I19/C19</f>
        <v/>
      </c>
      <c r="K19" s="12">
        <f>G19/C19</f>
        <v/>
      </c>
      <c r="L19" s="13">
        <f>C19/G19</f>
        <v/>
      </c>
      <c r="M19" s="10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10" customWidth="1" min="3" max="3"/>
    <col width="10" customWidth="1" min="4" max="4"/>
    <col width="10" customWidth="1" min="5" max="5"/>
    <col width="10" customWidth="1" min="6" max="6"/>
    <col width="34" customWidth="1" min="7" max="7"/>
  </cols>
  <sheetData>
    <row r="1">
      <c r="A1" s="3" t="inlineStr">
        <is>
          <t>브랜드</t>
        </is>
      </c>
      <c r="B1" s="3" t="inlineStr">
        <is>
          <t>제품</t>
        </is>
      </c>
      <c r="C1" s="3" t="inlineStr">
        <is>
          <t>8월</t>
        </is>
      </c>
      <c r="D1" s="3" t="inlineStr">
        <is>
          <t>9월</t>
        </is>
      </c>
      <c r="E1" s="3" t="inlineStr">
        <is>
          <t>증감</t>
        </is>
      </c>
      <c r="F1" s="3" t="inlineStr">
        <is>
          <t>증감률</t>
        </is>
      </c>
      <c r="G1" s="3" t="inlineStr">
        <is>
          <t>코멘트</t>
        </is>
      </c>
    </row>
    <row r="2">
      <c r="A2" s="4" t="inlineStr">
        <is>
          <t>핫팩</t>
        </is>
      </c>
      <c r="B2" s="4" t="inlineStr">
        <is>
          <t>히트템 포유 90g</t>
        </is>
      </c>
      <c r="C2" s="5" t="n">
        <v>390</v>
      </c>
      <c r="D2" s="5" t="n">
        <v>11580</v>
      </c>
      <c r="E2" s="5">
        <f>D2-C2</f>
        <v/>
      </c>
      <c r="F2" s="6">
        <f>IF(C2=0,"신규",D2/C2-1)</f>
        <v/>
      </c>
      <c r="G2" s="4" t="inlineStr">
        <is>
          <t>시즌 초도 출고 시작</t>
        </is>
      </c>
    </row>
    <row r="3">
      <c r="A3" s="4" t="inlineStr">
        <is>
          <t>핫팩</t>
        </is>
      </c>
      <c r="B3" s="4" t="inlineStr">
        <is>
          <t>내손에 핫한 160g</t>
        </is>
      </c>
      <c r="C3" s="5" t="n">
        <v>0</v>
      </c>
      <c r="D3" s="5" t="n">
        <v>14140</v>
      </c>
      <c r="E3" s="5">
        <f>D3-C3</f>
        <v/>
      </c>
      <c r="F3" s="6">
        <f>IF(C3=0,"신규",D3/C3-1)</f>
        <v/>
      </c>
      <c r="G3" s="4" t="inlineStr">
        <is>
          <t>9월 1위 / 신규 물량 집중</t>
        </is>
      </c>
    </row>
    <row r="4">
      <c r="A4" s="4" t="inlineStr">
        <is>
          <t>핫팩</t>
        </is>
      </c>
      <c r="B4" s="4" t="inlineStr">
        <is>
          <t>내손에 160g</t>
        </is>
      </c>
      <c r="C4" s="5" t="n">
        <v>2440</v>
      </c>
      <c r="D4" s="5" t="n">
        <v>3920</v>
      </c>
      <c r="E4" s="5">
        <f>D4-C4</f>
        <v/>
      </c>
      <c r="F4" s="6">
        <f>IF(C4=0,"신규",D4/C4-1)</f>
        <v/>
      </c>
      <c r="G4" s="4" t="inlineStr"/>
    </row>
    <row r="5">
      <c r="A5" s="4" t="inlineStr">
        <is>
          <t>핫팩</t>
        </is>
      </c>
      <c r="B5" s="4" t="inlineStr">
        <is>
          <t>내손에 핫한 90g</t>
        </is>
      </c>
      <c r="C5" s="5" t="n">
        <v>120</v>
      </c>
      <c r="D5" s="5" t="n">
        <v>2740</v>
      </c>
      <c r="E5" s="5">
        <f>D5-C5</f>
        <v/>
      </c>
      <c r="F5" s="6">
        <f>IF(C5=0,"신규",D5/C5-1)</f>
        <v/>
      </c>
      <c r="G5" s="4" t="inlineStr"/>
    </row>
    <row r="6">
      <c r="A6" s="4" t="inlineStr">
        <is>
          <t>핫팩</t>
        </is>
      </c>
      <c r="B6" s="4" t="inlineStr">
        <is>
          <t>내손에 90g</t>
        </is>
      </c>
      <c r="C6" s="5" t="n">
        <v>2660</v>
      </c>
      <c r="D6" s="5" t="n">
        <v>2080</v>
      </c>
      <c r="E6" s="5">
        <f>D6-C6</f>
        <v/>
      </c>
      <c r="F6" s="6">
        <f>IF(C6=0,"신규",D6/C6-1)</f>
        <v/>
      </c>
      <c r="G6" s="4" t="inlineStr"/>
    </row>
    <row r="7">
      <c r="A7" s="4" t="inlineStr">
        <is>
          <t>핫팩</t>
        </is>
      </c>
      <c r="B7" s="4" t="inlineStr">
        <is>
          <t>히트템 블랙 200g</t>
        </is>
      </c>
      <c r="C7" s="5" t="n">
        <v>0</v>
      </c>
      <c r="D7" s="5" t="n">
        <v>1730</v>
      </c>
      <c r="E7" s="5">
        <f>D7-C7</f>
        <v/>
      </c>
      <c r="F7" s="6">
        <f>IF(C7=0,"신규",D7/C7-1)</f>
        <v/>
      </c>
      <c r="G7" s="4" t="inlineStr"/>
    </row>
    <row r="8">
      <c r="A8" s="4" t="inlineStr">
        <is>
          <t>핫팩</t>
        </is>
      </c>
      <c r="B8" s="4" t="inlineStr">
        <is>
          <t>히트템 옐로우 90g</t>
        </is>
      </c>
      <c r="C8" s="5" t="n">
        <v>120</v>
      </c>
      <c r="D8" s="5" t="n">
        <v>1560</v>
      </c>
      <c r="E8" s="5">
        <f>D8-C8</f>
        <v/>
      </c>
      <c r="F8" s="6">
        <f>IF(C8=0,"신규",D8/C8-1)</f>
        <v/>
      </c>
      <c r="G8" s="4" t="inlineStr"/>
    </row>
    <row r="9">
      <c r="A9" s="4" t="inlineStr">
        <is>
          <t>핫팩</t>
        </is>
      </c>
      <c r="B9" s="4" t="inlineStr">
        <is>
          <t>레인보우 아이워머 체커보드블랙</t>
        </is>
      </c>
      <c r="C9" s="5" t="n">
        <v>238</v>
      </c>
      <c r="D9" s="5" t="n">
        <v>1582</v>
      </c>
      <c r="E9" s="5">
        <f>D9-C9</f>
        <v/>
      </c>
      <c r="F9" s="6">
        <f>IF(C9=0,"신규",D9/C9-1)</f>
        <v/>
      </c>
      <c r="G9" s="4" t="inlineStr"/>
    </row>
    <row r="10">
      <c r="A10" s="4" t="inlineStr">
        <is>
          <t>핫팩</t>
        </is>
      </c>
      <c r="B10" s="4" t="inlineStr">
        <is>
          <t>내손에 미니</t>
        </is>
      </c>
      <c r="C10" s="5" t="n">
        <v>600</v>
      </c>
      <c r="D10" s="5" t="n">
        <v>1280</v>
      </c>
      <c r="E10" s="5">
        <f>D10-C10</f>
        <v/>
      </c>
      <c r="F10" s="6">
        <f>IF(C10=0,"신규",D10/C10-1)</f>
        <v/>
      </c>
      <c r="G10" s="4" t="inlineStr"/>
    </row>
    <row r="11">
      <c r="A11" s="4" t="inlineStr">
        <is>
          <t>핫팩</t>
        </is>
      </c>
      <c r="B11" s="4" t="inlineStr">
        <is>
          <t>내손에 쿨패치 20개입</t>
        </is>
      </c>
      <c r="C11" s="5" t="n">
        <v>8500</v>
      </c>
      <c r="D11" s="5" t="n">
        <v>480</v>
      </c>
      <c r="E11" s="5">
        <f>D11-C11</f>
        <v/>
      </c>
      <c r="F11" s="6">
        <f>IF(C11=0,"신규",D11/C11-1)</f>
        <v/>
      </c>
      <c r="G11" s="4" t="inlineStr">
        <is>
          <t>여름 시즌 종료</t>
        </is>
      </c>
    </row>
    <row r="12">
      <c r="A12" s="10" t="inlineStr">
        <is>
          <t>핫팩</t>
        </is>
      </c>
      <c r="B12" s="10" t="inlineStr">
        <is>
          <t>핫팩 및 기타 합계</t>
        </is>
      </c>
      <c r="C12" s="11" t="n">
        <v>16659</v>
      </c>
      <c r="D12" s="11" t="n">
        <v>44353</v>
      </c>
      <c r="E12" s="11">
        <f>D12-C12</f>
        <v/>
      </c>
      <c r="F12" s="12">
        <f>IF(C12=0,"신규",D12/C12-1)</f>
        <v/>
      </c>
      <c r="G12" s="10" t="inlineStr"/>
    </row>
    <row r="13">
      <c r="A13" s="4" t="inlineStr">
        <is>
          <t>미유박스</t>
        </is>
      </c>
      <c r="B13" s="4" t="inlineStr">
        <is>
          <t>울티메이트 벤토나이트 11.8kg</t>
        </is>
      </c>
      <c r="C13" s="5" t="n">
        <v>1794</v>
      </c>
      <c r="D13" s="5" t="n">
        <v>1297</v>
      </c>
      <c r="E13" s="5">
        <f>D13-C13</f>
        <v/>
      </c>
      <c r="F13" s="6">
        <f>IF(C13=0,"신규",D13/C13-1)</f>
        <v/>
      </c>
      <c r="G13" s="4" t="inlineStr">
        <is>
          <t>1위 유지, 물량 감소</t>
        </is>
      </c>
    </row>
    <row r="14">
      <c r="A14" s="4" t="inlineStr">
        <is>
          <t>미유박스</t>
        </is>
      </c>
      <c r="B14" s="4" t="inlineStr">
        <is>
          <t>옐로우 내추럴 좁쌀 4.5kg</t>
        </is>
      </c>
      <c r="C14" s="5" t="n">
        <v>1078</v>
      </c>
      <c r="D14" s="5" t="n">
        <v>710</v>
      </c>
      <c r="E14" s="5">
        <f>D14-C14</f>
        <v/>
      </c>
      <c r="F14" s="6">
        <f>IF(C14=0,"신규",D14/C14-1)</f>
        <v/>
      </c>
      <c r="G14" s="4" t="inlineStr"/>
    </row>
    <row r="15">
      <c r="A15" s="4" t="inlineStr">
        <is>
          <t>미유박스</t>
        </is>
      </c>
      <c r="B15" s="4" t="inlineStr">
        <is>
          <t>카벤 클럼프 9kg</t>
        </is>
      </c>
      <c r="C15" s="5" t="n">
        <v>280</v>
      </c>
      <c r="D15" s="5" t="n">
        <v>374</v>
      </c>
      <c r="E15" s="5">
        <f>D15-C15</f>
        <v/>
      </c>
      <c r="F15" s="6">
        <f>IF(C15=0,"신규",D15/C15-1)</f>
        <v/>
      </c>
      <c r="G15" s="4" t="inlineStr">
        <is>
          <t>성장</t>
        </is>
      </c>
    </row>
    <row r="16">
      <c r="A16" s="4" t="inlineStr">
        <is>
          <t>미유박스</t>
        </is>
      </c>
      <c r="B16" s="4" t="inlineStr">
        <is>
          <t>옐로우 다이아 카사바 혼합 4.5kg</t>
        </is>
      </c>
      <c r="C16" s="5" t="n">
        <v>316</v>
      </c>
      <c r="D16" s="5" t="n">
        <v>292</v>
      </c>
      <c r="E16" s="5">
        <f>D16-C16</f>
        <v/>
      </c>
      <c r="F16" s="6">
        <f>IF(C16=0,"신규",D16/C16-1)</f>
        <v/>
      </c>
      <c r="G16" s="4" t="inlineStr"/>
    </row>
    <row r="17">
      <c r="A17" s="4" t="inlineStr">
        <is>
          <t>미유박스</t>
        </is>
      </c>
      <c r="B17" s="4" t="inlineStr">
        <is>
          <t>두부모래 오리지널 8.4kg</t>
        </is>
      </c>
      <c r="C17" s="5" t="n">
        <v>306</v>
      </c>
      <c r="D17" s="5" t="n">
        <v>261</v>
      </c>
      <c r="E17" s="5">
        <f>D17-C17</f>
        <v/>
      </c>
      <c r="F17" s="6">
        <f>IF(C17=0,"신규",D17/C17-1)</f>
        <v/>
      </c>
      <c r="G17" s="4" t="inlineStr"/>
    </row>
    <row r="18">
      <c r="A18" s="4" t="inlineStr">
        <is>
          <t>미유박스</t>
        </is>
      </c>
      <c r="B18" s="4" t="inlineStr">
        <is>
          <t>울티메이트 벤토나이트 6.3kg</t>
        </is>
      </c>
      <c r="C18" s="5" t="n">
        <v>192</v>
      </c>
      <c r="D18" s="5" t="n">
        <v>260</v>
      </c>
      <c r="E18" s="5">
        <f>D18-C18</f>
        <v/>
      </c>
      <c r="F18" s="6">
        <f>IF(C18=0,"신규",D18/C18-1)</f>
        <v/>
      </c>
      <c r="G18" s="4" t="inlineStr">
        <is>
          <t>성장</t>
        </is>
      </c>
    </row>
    <row r="19">
      <c r="A19" s="4" t="inlineStr">
        <is>
          <t>미유박스</t>
        </is>
      </c>
      <c r="B19" s="4" t="inlineStr">
        <is>
          <t>옐로우 다이아 카사바 굵은 4.5kg</t>
        </is>
      </c>
      <c r="C19" s="5" t="n">
        <v>331</v>
      </c>
      <c r="D19" s="5" t="n">
        <v>253</v>
      </c>
      <c r="E19" s="5">
        <f>D19-C19</f>
        <v/>
      </c>
      <c r="F19" s="6">
        <f>IF(C19=0,"신규",D19/C19-1)</f>
        <v/>
      </c>
      <c r="G19" s="4" t="inlineStr"/>
    </row>
    <row r="20">
      <c r="A20" s="4" t="inlineStr">
        <is>
          <t>미유박스</t>
        </is>
      </c>
      <c r="B20" s="4" t="inlineStr">
        <is>
          <t>두부모래 숯 8.4kg</t>
        </is>
      </c>
      <c r="C20" s="5" t="n">
        <v>276</v>
      </c>
      <c r="D20" s="5" t="n">
        <v>135</v>
      </c>
      <c r="E20" s="5">
        <f>D20-C20</f>
        <v/>
      </c>
      <c r="F20" s="6">
        <f>IF(C20=0,"신규",D20/C20-1)</f>
        <v/>
      </c>
      <c r="G20" s="4" t="inlineStr"/>
    </row>
    <row r="21">
      <c r="A21" s="4" t="inlineStr">
        <is>
          <t>미유박스</t>
        </is>
      </c>
      <c r="B21" s="4" t="inlineStr">
        <is>
          <t>화이트 퓨어 샌드 9.5kg</t>
        </is>
      </c>
      <c r="C21" s="5" t="n">
        <v>144</v>
      </c>
      <c r="D21" s="5" t="n">
        <v>124</v>
      </c>
      <c r="E21" s="5">
        <f>D21-C21</f>
        <v/>
      </c>
      <c r="F21" s="6">
        <f>IF(C21=0,"신규",D21/C21-1)</f>
        <v/>
      </c>
      <c r="G21" s="4" t="inlineStr"/>
    </row>
    <row r="22">
      <c r="A22" s="18" t="inlineStr">
        <is>
          <t>미유박스</t>
        </is>
      </c>
      <c r="B22" s="18" t="inlineStr">
        <is>
          <t>화이트 퓨어 샌드 6kg</t>
        </is>
      </c>
      <c r="C22" s="19" t="n">
        <v>770</v>
      </c>
      <c r="D22" s="19" t="n">
        <v>36</v>
      </c>
      <c r="E22" s="19">
        <f>D22-C22</f>
        <v/>
      </c>
      <c r="F22" s="20">
        <f>IF(C22=0,"신규",D22/C22-1)</f>
        <v/>
      </c>
      <c r="G22" s="18" t="inlineStr">
        <is>
          <t>⚠ -95% 급감 (품절/노출 확인 필요)</t>
        </is>
      </c>
    </row>
    <row r="23">
      <c r="A23" s="4" t="inlineStr">
        <is>
          <t>미유박스</t>
        </is>
      </c>
      <c r="B23" s="4" t="inlineStr">
        <is>
          <t>화이트 앳지 샌드 9kg</t>
        </is>
      </c>
      <c r="C23" s="5" t="n">
        <v>201</v>
      </c>
      <c r="D23" s="5" t="n">
        <v>77</v>
      </c>
      <c r="E23" s="5">
        <f>D23-C23</f>
        <v/>
      </c>
      <c r="F23" s="6">
        <f>IF(C23=0,"신규",D23/C23-1)</f>
        <v/>
      </c>
      <c r="G23" s="4" t="inlineStr"/>
    </row>
    <row r="24">
      <c r="A24" s="4" t="inlineStr">
        <is>
          <t>미유박스</t>
        </is>
      </c>
      <c r="B24" s="4" t="inlineStr">
        <is>
          <t>모래상쾌 300ml</t>
        </is>
      </c>
      <c r="C24" s="5" t="n">
        <v>165</v>
      </c>
      <c r="D24" s="5" t="n">
        <v>93</v>
      </c>
      <c r="E24" s="5">
        <f>D24-C24</f>
        <v/>
      </c>
      <c r="F24" s="6">
        <f>IF(C24=0,"신규",D24/C24-1)</f>
        <v/>
      </c>
      <c r="G24" s="4" t="inlineStr"/>
    </row>
    <row r="25">
      <c r="A25" s="10" t="inlineStr">
        <is>
          <t>미유박스</t>
        </is>
      </c>
      <c r="B25" s="10" t="inlineStr">
        <is>
          <t>미유박스 합계</t>
        </is>
      </c>
      <c r="C25" s="11" t="n">
        <v>6038</v>
      </c>
      <c r="D25" s="11" t="n">
        <v>4067</v>
      </c>
      <c r="E25" s="11">
        <f>D25-C25</f>
        <v/>
      </c>
      <c r="F25" s="12">
        <f>IF(C25=0,"신규",D25/C25-1)</f>
        <v/>
      </c>
      <c r="G25" s="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2026-10-12T06:34:42Z</dcterms:created>
  <dcterms:modified xmlns:dcterms="http://purl.org/dc/terms/" xmlns:xsi="http://www.w3.org/2001/XMLSchema-instance" xsi:type="dcterms:W3CDTF">2026-10-12T06:34:42Z</dcterms:modified>
</cp:coreProperties>
</file>